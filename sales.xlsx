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FC7F3303-5425-45B7-98B3-800F9814B8AC}" xr6:coauthVersionLast="47" xr6:coauthVersionMax="47" xr10:uidLastSave="{00000000-0000-0000-0000-000000000000}"/>
  <bookViews>
    <workbookView xWindow="-120" yWindow="-120" windowWidth="20730" windowHeight="11040" xr2:uid="{EB1775E6-13DF-4F01-BD1F-D69FFC50BB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" i="1" l="1"/>
  <c r="O4" i="1"/>
  <c r="O3" i="1"/>
  <c r="O2" i="1"/>
  <c r="K2" i="1"/>
  <c r="K3" i="1"/>
  <c r="H1" i="1"/>
</calcChain>
</file>

<file path=xl/sharedStrings.xml><?xml version="1.0" encoding="utf-8"?>
<sst xmlns="http://schemas.openxmlformats.org/spreadsheetml/2006/main" count="55" uniqueCount="29">
  <si>
    <t>order ID</t>
  </si>
  <si>
    <t>date</t>
  </si>
  <si>
    <t>product</t>
  </si>
  <si>
    <t>category</t>
  </si>
  <si>
    <t xml:space="preserve">region </t>
  </si>
  <si>
    <t>sales amount</t>
  </si>
  <si>
    <t>16-12-2025</t>
  </si>
  <si>
    <t>17-1-2026</t>
  </si>
  <si>
    <t>18-2-2026</t>
  </si>
  <si>
    <t>12-11=2025</t>
  </si>
  <si>
    <t>chair</t>
  </si>
  <si>
    <t>table</t>
  </si>
  <si>
    <t>bench</t>
  </si>
  <si>
    <t>mobile</t>
  </si>
  <si>
    <t>laptop</t>
  </si>
  <si>
    <t>TV</t>
  </si>
  <si>
    <t>furniture</t>
  </si>
  <si>
    <t>electronic</t>
  </si>
  <si>
    <t>north</t>
  </si>
  <si>
    <t>east</t>
  </si>
  <si>
    <t>west</t>
  </si>
  <si>
    <t>south</t>
  </si>
  <si>
    <t>total sales</t>
  </si>
  <si>
    <t>analysis 2</t>
  </si>
  <si>
    <t>analysis 3</t>
  </si>
  <si>
    <t>region</t>
  </si>
  <si>
    <t>insights=</t>
  </si>
  <si>
    <t>Electronics category has the highest sales</t>
  </si>
  <si>
    <t>north region contributes the highest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</si>
</sst>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925B0-71C1-44D2-A810-0DA073E733FF}">
  <dimension ref="A1:R11"/>
  <sheetViews>
    <sheetView tabSelected="1" workbookViewId="0">
      <selection activeCell="R3" sqref="R3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>
        <f>SUM(F2:F11)</f>
        <v>228000</v>
      </c>
      <c r="I1" t="s">
        <v>23</v>
      </c>
      <c r="J1" t="s">
        <v>3</v>
      </c>
      <c r="K1" t="s">
        <v>22</v>
      </c>
      <c r="M1" t="s">
        <v>24</v>
      </c>
      <c r="N1" t="s">
        <v>25</v>
      </c>
      <c r="O1" t="s">
        <v>22</v>
      </c>
      <c r="Q1" t="s">
        <v>26</v>
      </c>
      <c r="R1" t="s">
        <v>27</v>
      </c>
    </row>
    <row r="2" spans="1:18" x14ac:dyDescent="0.25">
      <c r="A2">
        <v>101</v>
      </c>
      <c r="B2" s="1">
        <v>46023</v>
      </c>
      <c r="C2" t="s">
        <v>10</v>
      </c>
      <c r="D2" t="s">
        <v>16</v>
      </c>
      <c r="E2" t="s">
        <v>18</v>
      </c>
      <c r="F2">
        <v>10000</v>
      </c>
      <c r="J2" t="s">
        <v>17</v>
      </c>
      <c r="K2">
        <f>SUMIF(D:D,"Electronic",F:F)</f>
        <v>180000</v>
      </c>
      <c r="N2" t="s">
        <v>18</v>
      </c>
      <c r="O2">
        <f>SUMIF(E:E,"north",F:F)</f>
        <v>75000</v>
      </c>
      <c r="R2" t="s">
        <v>28</v>
      </c>
    </row>
    <row r="3" spans="1:18" x14ac:dyDescent="0.25">
      <c r="A3">
        <v>102</v>
      </c>
      <c r="B3" s="1">
        <v>46054</v>
      </c>
      <c r="C3" t="s">
        <v>11</v>
      </c>
      <c r="D3" t="s">
        <v>16</v>
      </c>
      <c r="E3" t="s">
        <v>19</v>
      </c>
      <c r="F3">
        <v>12000</v>
      </c>
      <c r="J3" t="s">
        <v>16</v>
      </c>
      <c r="K3">
        <f>SUMIF(D:D,"Furniture",F:F)</f>
        <v>48000</v>
      </c>
      <c r="N3" t="s">
        <v>19</v>
      </c>
      <c r="O3">
        <f>SUMIF(E:E,"east",F:F)</f>
        <v>70000</v>
      </c>
    </row>
    <row r="4" spans="1:18" x14ac:dyDescent="0.25">
      <c r="A4">
        <v>103</v>
      </c>
      <c r="B4" s="1">
        <v>46083</v>
      </c>
      <c r="C4" t="s">
        <v>12</v>
      </c>
      <c r="D4" t="s">
        <v>16</v>
      </c>
      <c r="E4" t="s">
        <v>20</v>
      </c>
      <c r="F4">
        <v>13000</v>
      </c>
      <c r="N4" t="s">
        <v>20</v>
      </c>
      <c r="O4">
        <f>SUMIF(E:E,"west",F:F)</f>
        <v>13000</v>
      </c>
    </row>
    <row r="5" spans="1:18" x14ac:dyDescent="0.25">
      <c r="A5">
        <v>104</v>
      </c>
      <c r="B5" t="s">
        <v>6</v>
      </c>
      <c r="C5" t="s">
        <v>13</v>
      </c>
      <c r="D5" t="s">
        <v>17</v>
      </c>
      <c r="E5" t="s">
        <v>21</v>
      </c>
      <c r="F5">
        <v>30000</v>
      </c>
      <c r="N5" t="s">
        <v>21</v>
      </c>
      <c r="O5">
        <f>SUMIF(E:E,"south",F:F)</f>
        <v>70000</v>
      </c>
    </row>
    <row r="6" spans="1:18" x14ac:dyDescent="0.25">
      <c r="A6">
        <v>105</v>
      </c>
      <c r="B6" s="1">
        <v>46175</v>
      </c>
      <c r="C6" t="s">
        <v>14</v>
      </c>
      <c r="D6" t="s">
        <v>17</v>
      </c>
      <c r="E6" t="s">
        <v>21</v>
      </c>
      <c r="F6">
        <v>40000</v>
      </c>
    </row>
    <row r="7" spans="1:18" x14ac:dyDescent="0.25">
      <c r="A7">
        <v>106</v>
      </c>
      <c r="B7" s="1">
        <v>46054</v>
      </c>
      <c r="C7" t="s">
        <v>13</v>
      </c>
      <c r="D7" t="s">
        <v>17</v>
      </c>
      <c r="E7" t="s">
        <v>18</v>
      </c>
      <c r="F7">
        <v>20000</v>
      </c>
    </row>
    <row r="8" spans="1:18" x14ac:dyDescent="0.25">
      <c r="A8">
        <v>107</v>
      </c>
      <c r="B8" s="1">
        <v>46083</v>
      </c>
      <c r="C8" t="s">
        <v>15</v>
      </c>
      <c r="D8" t="s">
        <v>17</v>
      </c>
      <c r="E8" t="s">
        <v>18</v>
      </c>
      <c r="F8">
        <v>45000</v>
      </c>
    </row>
    <row r="9" spans="1:18" x14ac:dyDescent="0.25">
      <c r="A9">
        <v>108</v>
      </c>
      <c r="B9" t="s">
        <v>7</v>
      </c>
      <c r="C9" t="s">
        <v>15</v>
      </c>
      <c r="D9" t="s">
        <v>17</v>
      </c>
      <c r="E9" t="s">
        <v>19</v>
      </c>
      <c r="F9">
        <v>45000</v>
      </c>
    </row>
    <row r="10" spans="1:18" x14ac:dyDescent="0.25">
      <c r="A10">
        <v>109</v>
      </c>
      <c r="B10" t="s">
        <v>8</v>
      </c>
      <c r="C10" t="s">
        <v>10</v>
      </c>
      <c r="D10" t="s">
        <v>16</v>
      </c>
      <c r="E10" t="s">
        <v>19</v>
      </c>
      <c r="F10">
        <v>1000</v>
      </c>
    </row>
    <row r="11" spans="1:18" x14ac:dyDescent="0.25">
      <c r="A11">
        <v>110</v>
      </c>
      <c r="B11" t="s">
        <v>9</v>
      </c>
      <c r="C11" t="s">
        <v>11</v>
      </c>
      <c r="D11" t="s">
        <v>16</v>
      </c>
      <c r="E11" t="s">
        <v>19</v>
      </c>
      <c r="F1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2026-02-21T17:25:32Z</dcterms:created>
  <dcterms:modified xsi:type="dcterms:W3CDTF">2026-02-21T17:52:18Z</dcterms:modified>
</cp:coreProperties>
</file>